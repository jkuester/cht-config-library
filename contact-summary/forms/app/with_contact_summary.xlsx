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The number of instances of a repeat to create. Can be a fixed value or a 
dynamic expression.
https://docs.getodk.org/form-logic/#fixed-repeat-count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Can include a human-friendly note to describe the row. This will be ignored by all ODK tools.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<sst xmlns="http://schemas.openxmlformats.org/spreadsheetml/2006/main" count="98" uniqueCount="74">
  <si>
    <t xml:space="preserve">type</t>
  </si>
  <si>
    <t xml:space="preserve">name</t>
  </si>
  <si>
    <t xml:space="preserve">label::en</t>
  </si>
  <si>
    <t xml:space="preserve">appearance</t>
  </si>
  <si>
    <t xml:space="preserve">calculation</t>
  </si>
  <si>
    <t xml:space="preserve">repeat_count</t>
  </si>
  <si>
    <t xml:space="preserve">note</t>
  </si>
  <si>
    <t xml:space="preserve">begin_group</t>
  </si>
  <si>
    <t xml:space="preserve">my_page</t>
  </si>
  <si>
    <t xml:space="preserve">field-list</t>
  </si>
  <si>
    <t xml:space="preserve">calculate</t>
  </si>
  <si>
    <t xml:space="preserve">favorite_chw_name</t>
  </si>
  <si>
    <t xml:space="preserve">instance(‘contact-summary’)/context/favorite_chw/name</t>
  </si>
  <si>
    <t xml:space="preserve">favorite_chw_hh_visits</t>
  </si>
  <si>
    <t xml:space="preserve">instance(‘contact-summary’)/context/favorite_chw/household_visits</t>
  </si>
  <si>
    <t xml:space="preserve">favorite_chw_referrals</t>
  </si>
  <si>
    <t xml:space="preserve">instance(‘contact-summary’)/context/favorite_chw/referrals</t>
  </si>
  <si>
    <t xml:space="preserve">favorite_note</t>
  </si>
  <si>
    <t xml:space="preserve">Favorite CHW: ${favorite_chw_name} – Visits: ${favorite_chw_hh_visits} – Referrals: ${favorite_chw_referrals}</t>
  </si>
  <si>
    <t xml:space="preserve">chw_names</t>
  </si>
  <si>
    <t xml:space="preserve">instance(‘contact-summary’)/context/all_chws/chw_names</t>
  </si>
  <si>
    <t xml:space="preserve">chw_household_visits</t>
  </si>
  <si>
    <t xml:space="preserve">instance(‘contact-summary’)/context/all_chws/chw_household_visits</t>
  </si>
  <si>
    <t xml:space="preserve">chw_referrals</t>
  </si>
  <si>
    <t xml:space="preserve">instance(‘contact-summary’)/context/all_chws/chw_referrals</t>
  </si>
  <si>
    <t xml:space="preserve">chw_count</t>
  </si>
  <si>
    <t xml:space="preserve">count-selected(${chw_names})</t>
  </si>
  <si>
    <t xml:space="preserve">begin_repeat</t>
  </si>
  <si>
    <t xml:space="preserve">my_repeat</t>
  </si>
  <si>
    <t xml:space="preserve">All CHWs:</t>
  </si>
  <si>
    <t xml:space="preserve">${chw_count}</t>
  </si>
  <si>
    <t xml:space="preserve">chw_index</t>
  </si>
  <si>
    <t xml:space="preserve">position(..) - 1</t>
  </si>
  <si>
    <t xml:space="preserve">chw_name</t>
  </si>
  <si>
    <t xml:space="preserve">selected-at(${chw_names}, ${chw_index})</t>
  </si>
  <si>
    <t xml:space="preserve">chw_household_visit</t>
  </si>
  <si>
    <t xml:space="preserve">selected-at(${chw_household_visits}, ${chw_index})</t>
  </si>
  <si>
    <t xml:space="preserve">chw_referral</t>
  </si>
  <si>
    <t xml:space="preserve">selected-at(${chw_referrals}, ${chw_index})</t>
  </si>
  <si>
    <t xml:space="preserve">repeated_note</t>
  </si>
  <si>
    <t xml:space="preserve">${chw_name} – Visits: ${chw_household_visit} – Referrals: ${chw_referral}</t>
  </si>
  <si>
    <t xml:space="preserve">end_repeat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</si>
  <si>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</si>
  <si>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</si>
  <si>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</si>
  <si>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</si>
  <si>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</si>
  <si>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Contact Summary Test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</si>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</sst>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3D3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1" activeCellId="0" sqref="C2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19.93"/>
    <col collapsed="false" customWidth="true" hidden="false" outlineLevel="0" max="3" min="3" style="1" width="37.28"/>
    <col collapsed="false" customWidth="true" hidden="false" outlineLevel="0" max="4" min="4" style="1" width="13.91"/>
    <col collapsed="false" customWidth="true" hidden="false" outlineLevel="0" max="5" min="5" style="1" width="56.67"/>
    <col collapsed="false" customWidth="true" hidden="false" outlineLevel="0" max="6" min="6" style="1" width="12.28"/>
    <col collapsed="false" customWidth="false" hidden="false" outlineLevel="0" max="7" min="7" style="1" width="11.53"/>
    <col collapsed="false" customWidth="true" hidden="false" outlineLevel="0" max="29" min="8" style="1" width="9"/>
    <col collapsed="false" customWidth="false" hidden="false" outlineLevel="0" max="16384" min="30" style="1" width="11.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customFormat="false" ht="12.75" hidden="false" customHeight="true" outlineLevel="0" collapsed="false">
      <c r="A3" s="1" t="s">
        <v>7</v>
      </c>
      <c r="B3" s="1" t="s">
        <v>8</v>
      </c>
      <c r="D3" s="1" t="s">
        <v>9</v>
      </c>
    </row>
    <row r="5" customFormat="false" ht="12.75" hidden="false" customHeight="true" outlineLevel="0" collapsed="false">
      <c r="A5" s="1" t="s">
        <v>10</v>
      </c>
      <c r="B5" s="1" t="s">
        <v>11</v>
      </c>
      <c r="E5" s="1" t="s">
        <v>12</v>
      </c>
    </row>
    <row r="6" customFormat="false" ht="12.75" hidden="false" customHeight="true" outlineLevel="0" collapsed="false">
      <c r="A6" s="1" t="s">
        <v>10</v>
      </c>
      <c r="B6" s="1" t="s">
        <v>13</v>
      </c>
      <c r="E6" s="1" t="s">
        <v>14</v>
      </c>
    </row>
    <row r="7" customFormat="false" ht="12.75" hidden="false" customHeight="true" outlineLevel="0" collapsed="false">
      <c r="A7" s="1" t="s">
        <v>10</v>
      </c>
      <c r="B7" s="1" t="s">
        <v>15</v>
      </c>
      <c r="E7" s="1" t="s">
        <v>16</v>
      </c>
    </row>
    <row r="8" customFormat="false" ht="12.75" hidden="false" customHeight="true" outlineLevel="0" collapsed="false">
      <c r="A8" s="1" t="s">
        <v>6</v>
      </c>
      <c r="B8" s="1" t="s">
        <v>17</v>
      </c>
      <c r="C8" s="1" t="s">
        <v>18</v>
      </c>
    </row>
    <row r="10" customFormat="false" ht="12.75" hidden="false" customHeight="true" outlineLevel="0" collapsed="false">
      <c r="A10" s="1" t="s">
        <v>10</v>
      </c>
      <c r="B10" s="1" t="s">
        <v>19</v>
      </c>
      <c r="E10" s="1" t="s">
        <v>20</v>
      </c>
    </row>
    <row r="11" customFormat="false" ht="12.75" hidden="false" customHeight="true" outlineLevel="0" collapsed="false">
      <c r="A11" s="1" t="s">
        <v>10</v>
      </c>
      <c r="B11" s="1" t="s">
        <v>21</v>
      </c>
      <c r="E11" s="1" t="s">
        <v>22</v>
      </c>
    </row>
    <row r="12" customFormat="false" ht="12.75" hidden="false" customHeight="true" outlineLevel="0" collapsed="false">
      <c r="A12" s="1" t="s">
        <v>10</v>
      </c>
      <c r="B12" s="1" t="s">
        <v>23</v>
      </c>
      <c r="E12" s="1" t="s">
        <v>24</v>
      </c>
    </row>
    <row r="13" customFormat="false" ht="12.75" hidden="false" customHeight="true" outlineLevel="0" collapsed="false">
      <c r="A13" s="1" t="s">
        <v>10</v>
      </c>
      <c r="B13" s="1" t="s">
        <v>25</v>
      </c>
      <c r="E13" s="1" t="s">
        <v>26</v>
      </c>
    </row>
    <row r="14" customFormat="false" ht="12.75" hidden="false" customHeight="true" outlineLevel="0" collapsed="false">
      <c r="A14" s="1" t="s">
        <v>27</v>
      </c>
      <c r="B14" s="1" t="s">
        <v>28</v>
      </c>
      <c r="C14" s="1" t="s">
        <v>29</v>
      </c>
      <c r="F14" s="1" t="s">
        <v>30</v>
      </c>
    </row>
    <row r="15" customFormat="false" ht="12.75" hidden="false" customHeight="true" outlineLevel="0" collapsed="false">
      <c r="A15" s="1" t="s">
        <v>10</v>
      </c>
      <c r="B15" s="1" t="s">
        <v>31</v>
      </c>
      <c r="E15" s="1" t="s">
        <v>32</v>
      </c>
    </row>
    <row r="16" customFormat="false" ht="12.75" hidden="false" customHeight="true" outlineLevel="0" collapsed="false">
      <c r="A16" s="1" t="s">
        <v>10</v>
      </c>
      <c r="B16" s="1" t="s">
        <v>33</v>
      </c>
      <c r="E16" s="1" t="s">
        <v>34</v>
      </c>
    </row>
    <row r="17" customFormat="false" ht="12.75" hidden="false" customHeight="true" outlineLevel="0" collapsed="false">
      <c r="A17" s="1" t="s">
        <v>10</v>
      </c>
      <c r="B17" s="1" t="s">
        <v>35</v>
      </c>
      <c r="E17" s="1" t="s">
        <v>36</v>
      </c>
    </row>
    <row r="18" customFormat="false" ht="12.75" hidden="false" customHeight="true" outlineLevel="0" collapsed="false">
      <c r="A18" s="1" t="s">
        <v>10</v>
      </c>
      <c r="B18" s="1" t="s">
        <v>37</v>
      </c>
      <c r="E18" s="1" t="s">
        <v>38</v>
      </c>
    </row>
    <row r="19" customFormat="false" ht="12.75" hidden="false" customHeight="true" outlineLevel="0" collapsed="false">
      <c r="A19" s="1" t="s">
        <v>6</v>
      </c>
      <c r="B19" s="1" t="s">
        <v>39</v>
      </c>
      <c r="C19" s="1" t="s">
        <v>40</v>
      </c>
    </row>
    <row r="20" customFormat="false" ht="12.75" hidden="false" customHeight="true" outlineLevel="0" collapsed="false">
      <c r="A20" s="1" t="s">
        <v>41</v>
      </c>
      <c r="B20" s="1" t="s">
        <v>28</v>
      </c>
    </row>
    <row r="22" customFormat="false" ht="12.75" hidden="false" customHeight="true" outlineLevel="0" collapsed="false">
      <c r="A22" s="1" t="s">
        <v>42</v>
      </c>
      <c r="B22" s="1" t="s">
        <v>8</v>
      </c>
    </row>
  </sheetData>
  <conditionalFormatting sqref="A1:BF1">
    <cfRule type="expression" priority="2" aboveAverage="0" equalAverage="0" bottom="0" percent="0" rank="0" text="" dxfId="0">
      <formula>AND(A1&lt;&gt;"",COUNTIF($A$1:$BF$1,A1)&gt;1)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$1022)=0)</formula>
    </cfRule>
    <cfRule type="expression" priority="5" aboveAverage="0" equalAverage="0" bottom="0" percent="0" rank="0" text="" dxfId="3">
      <formula>AND(NOT(ISERROR(MATCH(A1,{"appearance","instance::cht:duration","instance::cht:unique_tel","instance::db-doc","instance::db-doc-ref","instance::tag","instance::type","name","note","parameters","read_only","trigger","type"},0))),COUNTA(A$2:A$1022)=0)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AND(NOT(ISERROR(MATCH(A1,{"calculation","choice_filter","constraint","default","relevant","repeat_count","required"},0))),COUNTA(A$2:A$1022)=0)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A2:A1022">
    <cfRule type="expression" priority="10" aboveAverage="0" equalAverage="0" bottom="0" percent="0" rank="0" text="" dxfId="8">
      <formula>AND(A2&lt;&gt;"",NOT(OR(NOT(ISERROR(MATCH(A2,{"acknowledge","audio","begin_group","begin_repeat","calculate","date","datetime","decimal","end","end_group","end_repeat","file","geopoint","geoshape","geotrace","hidden","image","integer","note","range","rank","start","text","time","today","video"},0))),0,0)))</formula>
    </cfRule>
  </conditionalFormatting>
  <conditionalFormatting sqref="B2:B1022">
    <cfRule type="expression" priority="11" aboveAverage="0" equalAverage="0" bottom="0" percent="0" rank="0" text="" dxfId="9">
      <formula>AND(A2&lt;&gt;"",B2="")</formula>
    </cfRule>
  </conditionalFormatting>
  <conditionalFormatting sqref="C2:C1022">
    <cfRule type="expression" priority="12" aboveAverage="0" equalAverage="0" bottom="0" percent="0" rank="0" text="" dxfId="10">
      <formula>AND(OR(NOT(ISERROR(MATCH(A2,{"acknowledge","audio","date","datetime","decimal","file","geopoint","geoshape","geotrace","image","integer","note","range","rank","text","time","video"},0))),LEFT(A2,11)="select_one ",LEFT(A2,16)="select_multiple "),C2="")</formula>
    </cfRule>
    <cfRule type="expression" priority="13" aboveAverage="0" equalAverage="0" bottom="0" percent="0" rank="0" text="" dxfId="11">
      <formula>AND(C2&lt;&gt;"",NOT(ISERROR(MATCH(A2,{"calculate","end","end_group","end_repeat","hidden","start","today"},0))))</formula>
    </cfRule>
    <cfRule type="expression" priority="14" aboveAverage="0" equalAverage="0" bottom="0" percent="0" rank="0" text="" dxfId="12">
      <formula>OR(C2="NO_LABEL",C2="DELETE_THIS_LINE")</formula>
    </cfRule>
  </conditionalFormatting>
  <conditionalFormatting sqref="E2:E1022">
    <cfRule type="expression" priority="15" aboveAverage="0" equalAverage="0" bottom="0" percent="0" rank="0" text="" dxfId="13">
      <formula>AND(A2="calculate",E2="")</formula>
    </cfRule>
  </conditionalFormatting>
  <conditionalFormatting sqref="A2:BF1022">
    <cfRule type="expression" priority="16" aboveAverage="0" equalAverage="0" bottom="0" percent="0" rank="0" text="" dxfId="14">
      <formula>AND($A2="begin_group",A$1&lt;&gt;"")</formula>
    </cfRule>
  </conditionalFormatting>
  <conditionalFormatting sqref="A2:BF1022">
    <cfRule type="expression" priority="17" aboveAverage="0" equalAverage="0" bottom="0" percent="0" rank="0" text="" dxfId="15">
      <formula>AND($A2="end_group",A$1&lt;&gt;"")</formula>
    </cfRule>
  </conditionalFormatting>
  <conditionalFormatting sqref="A2:BF1022">
    <cfRule type="expression" priority="18" aboveAverage="0" equalAverage="0" bottom="0" percent="0" rank="0" text="" dxfId="16">
      <formula>AND($A2="begin_repeat",A$1&lt;&gt;"")</formula>
    </cfRule>
  </conditionalFormatting>
  <conditionalFormatting sqref="A2:BF1022">
    <cfRule type="expression" priority="19" aboveAverage="0" equalAverage="0" bottom="0" percent="0" rank="0" text="" dxfId="17">
      <formula>AND($A2="end_repeat",A$1&lt;&gt;"")</formula>
    </cfRule>
  </conditionalFormatting>
  <conditionalFormatting sqref="A2:BF1022">
    <cfRule type="expression" priority="20" aboveAverage="0" equalAverage="0" bottom="0" percent="0" rank="0" text="" dxfId="18">
      <formula>AND(A2&lt;&gt;"",A$1="")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F1" type="list">
      <formula1>chtx!$A$2:$A$28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A2:A1022" type="list">
      <formula1>"acknowledge,audio,begin_group,begin_repeat,calculate,date,datetime,decimal,end,end_group,end_repeat,file,geopoint,geoshape,geotrace,hidden,image,integer,note,range,rank,select_multiple list_name,select_one list_name,start,text,time,today,video"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16.89"/>
    <col collapsed="false" customWidth="true" hidden="false" outlineLevel="0" max="3" min="3" style="3" width="9"/>
    <col collapsed="false" customWidth="true" hidden="false" outlineLevel="0" max="4" min="4" style="1" width="32.61"/>
  </cols>
  <sheetData>
    <row r="1" customFormat="false" ht="12.75" hidden="false" customHeight="true" outlineLevel="0" collapsed="false">
      <c r="A1" s="1" t="s">
        <v>43</v>
      </c>
      <c r="B1" s="1" t="s">
        <v>44</v>
      </c>
      <c r="C1" s="3" t="s">
        <v>45</v>
      </c>
      <c r="D1" s="1" t="s">
        <v>46</v>
      </c>
    </row>
    <row r="2" customFormat="false" ht="12.75" hidden="false" customHeight="true" outlineLevel="0" collapsed="false">
      <c r="A2" s="1" t="s">
        <v>47</v>
      </c>
      <c r="B2" s="1" t="str">
        <f aca="true">TEXT(NOW(), "yyyymmddhhmmss")</f>
        <v>20260722164207</v>
      </c>
      <c r="C2" s="3" t="s">
        <v>48</v>
      </c>
      <c r="D2" s="1" t="s">
        <v>49</v>
      </c>
    </row>
  </sheetData>
  <conditionalFormatting sqref="A1:BC1">
    <cfRule type="expression" priority="2" aboveAverage="0" equalAverage="0" bottom="0" percent="0" rank="0" text="" dxfId="19">
      <formula>AND(A1&lt;&gt;"",COUNTIF($A$1:$BC$1,A1)&gt;1)</formula>
    </cfRule>
    <cfRule type="expression" priority="3" aboveAverage="0" equalAverage="0" bottom="0" percent="0" rank="0" text="" dxfId="20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1">
      <formula>AND(A1&lt;&gt;"",COUNTA(A$2:A$1002)=0)</formula>
    </cfRule>
    <cfRule type="expression" priority="5" aboveAverage="0" equalAverage="0" bottom="0" percent="0" rank="0" text="" dxfId="22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23">
      <formula>AND(C2&lt;&gt;"",C2&lt;&gt;"pages")</formula>
    </cfRule>
  </conditionalFormatting>
  <conditionalFormatting sqref="A2:BC1002">
    <cfRule type="expression" priority="7" aboveAverage="0" equalAverage="0" bottom="0" percent="0" rank="0" text="" dxfId="24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50</v>
      </c>
      <c r="C1" s="0" t="s">
        <v>51</v>
      </c>
    </row>
    <row r="2" customFormat="false" ht="15" hidden="false" customHeight="false" outlineLevel="0" collapsed="false">
      <c r="A2" s="0" t="s">
        <v>3</v>
      </c>
      <c r="C2" s="0" t="s">
        <v>52</v>
      </c>
    </row>
    <row r="3" customFormat="false" ht="15" hidden="false" customHeight="false" outlineLevel="0" collapsed="false">
      <c r="A3" s="0" t="s">
        <v>53</v>
      </c>
      <c r="C3" s="0" t="s">
        <v>43</v>
      </c>
    </row>
    <row r="4" customFormat="false" ht="15" hidden="false" customHeight="false" outlineLevel="0" collapsed="false">
      <c r="A4" s="0" t="s">
        <v>4</v>
      </c>
      <c r="C4" s="0" t="s">
        <v>46</v>
      </c>
    </row>
    <row r="5" customFormat="false" ht="15" hidden="false" customHeight="false" outlineLevel="0" collapsed="false">
      <c r="A5" s="0" t="s">
        <v>54</v>
      </c>
      <c r="C5" s="0" t="s">
        <v>45</v>
      </c>
    </row>
    <row r="6" customFormat="false" ht="15" hidden="false" customHeight="false" outlineLevel="0" collapsed="false">
      <c r="A6" s="0" t="s">
        <v>55</v>
      </c>
      <c r="C6" s="0" t="s">
        <v>44</v>
      </c>
    </row>
    <row r="7" customFormat="false" ht="15" hidden="false" customHeight="false" outlineLevel="0" collapsed="false">
      <c r="A7" s="0" t="s">
        <v>56</v>
      </c>
    </row>
    <row r="8" customFormat="false" ht="15" hidden="false" customHeight="false" outlineLevel="0" collapsed="false">
      <c r="A8" s="0" t="s">
        <v>57</v>
      </c>
    </row>
    <row r="9" customFormat="false" ht="15" hidden="false" customHeight="false" outlineLevel="0" collapsed="false">
      <c r="A9" s="0" t="s">
        <v>58</v>
      </c>
    </row>
    <row r="10" customFormat="false" ht="15" hidden="false" customHeight="false" outlineLevel="0" collapsed="false">
      <c r="A10" s="0" t="s">
        <v>59</v>
      </c>
    </row>
    <row r="11" customFormat="false" ht="15" hidden="false" customHeight="false" outlineLevel="0" collapsed="false">
      <c r="A11" s="0" t="s">
        <v>60</v>
      </c>
    </row>
    <row r="12" customFormat="false" ht="15" hidden="false" customHeight="false" outlineLevel="0" collapsed="false">
      <c r="A12" s="0" t="s">
        <v>61</v>
      </c>
    </row>
    <row r="13" customFormat="false" ht="15" hidden="false" customHeight="false" outlineLevel="0" collapsed="false">
      <c r="A13" s="0" t="s">
        <v>62</v>
      </c>
    </row>
    <row r="14" customFormat="false" ht="15" hidden="false" customHeight="false" outlineLevel="0" collapsed="false">
      <c r="A14" s="0" t="s">
        <v>63</v>
      </c>
    </row>
    <row r="15" customFormat="false" ht="15" hidden="false" customHeight="false" outlineLevel="0" collapsed="false">
      <c r="A15" s="0" t="s">
        <v>64</v>
      </c>
    </row>
    <row r="16" customFormat="false" ht="15" hidden="false" customHeight="false" outlineLevel="0" collapsed="false">
      <c r="A16" s="0" t="s">
        <v>65</v>
      </c>
    </row>
    <row r="17" customFormat="false" ht="15" hidden="false" customHeight="false" outlineLevel="0" collapsed="false">
      <c r="A17" s="0" t="s">
        <v>66</v>
      </c>
    </row>
    <row r="18" customFormat="false" ht="15" hidden="false" customHeight="false" outlineLevel="0" collapsed="false">
      <c r="A18" s="0" t="s">
        <v>1</v>
      </c>
    </row>
    <row r="19" customFormat="false" ht="15" hidden="false" customHeight="false" outlineLevel="0" collapsed="false">
      <c r="A19" s="0" t="s">
        <v>6</v>
      </c>
    </row>
    <row r="20" customFormat="false" ht="15" hidden="false" customHeight="false" outlineLevel="0" collapsed="false">
      <c r="A20" s="0" t="s">
        <v>67</v>
      </c>
    </row>
    <row r="21" customFormat="false" ht="15" hidden="false" customHeight="false" outlineLevel="0" collapsed="false">
      <c r="A21" s="0" t="s">
        <v>68</v>
      </c>
    </row>
    <row r="22" customFormat="false" ht="15" hidden="false" customHeight="false" outlineLevel="0" collapsed="false">
      <c r="A22" s="0" t="s">
        <v>69</v>
      </c>
    </row>
    <row r="23" customFormat="false" ht="15" hidden="false" customHeight="false" outlineLevel="0" collapsed="false">
      <c r="A23" s="0" t="s">
        <v>5</v>
      </c>
    </row>
    <row r="24" customFormat="false" ht="15" hidden="false" customHeight="false" outlineLevel="0" collapsed="false">
      <c r="A24" s="0" t="s">
        <v>70</v>
      </c>
    </row>
    <row r="25" customFormat="false" ht="15" hidden="false" customHeight="false" outlineLevel="0" collapsed="false">
      <c r="A25" s="0" t="s">
        <v>71</v>
      </c>
    </row>
    <row r="26" customFormat="false" ht="15" hidden="false" customHeight="false" outlineLevel="0" collapsed="false">
      <c r="A26" s="0" t="s">
        <v>72</v>
      </c>
    </row>
    <row r="27" customFormat="false" ht="15" hidden="false" customHeight="false" outlineLevel="0" collapsed="false">
      <c r="A27" s="0" t="s">
        <v>0</v>
      </c>
    </row>
    <row r="28" customFormat="false" ht="15" hidden="false" customHeight="false" outlineLevel="0" collapsed="false">
      <c r="A28" s="0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2026-07-22T16:42:06Z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